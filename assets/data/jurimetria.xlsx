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odo" sheetId="1" state="visible" r:id="rId3"/>
    <sheet name="Base" sheetId="2" state="visible" r:id="rId4"/>
    <sheet name="Serie" sheetId="3" state="visible" r:id="rId5"/>
    <sheet name="Por servidor" sheetId="4" state="visible" r:id="rId6"/>
    <sheet name="Robustez" sheetId="5" state="visible" r:id="rId7"/>
  </sheets>
  <definedNames>
    <definedName function="false" hidden="true" localSheetId="1" name="_xlnm._FilterDatabase" vbProcedure="false">Base!$B$5:$F$61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<sst xmlns="http://schemas.openxmlformats.org/spreadsheetml/2006/main" count="251" uniqueCount="79">
  <si>
    <t xml:space="preserve">ECHO / Jurimetria de produtividade</t>
  </si>
  <si>
    <t xml:space="preserve">Versao publica anonimizada</t>
  </si>
  <si>
    <t xml:space="preserve">Objeto</t>
  </si>
  <si>
    <t xml:space="preserve">Medicao da produtividade de um gabinete de Turma Recursal, apurada mes a mes e aberta por servidor, sobre a base de despachos do periodo.</t>
  </si>
  <si>
    <t xml:space="preserve">Indicador</t>
  </si>
  <si>
    <t xml:space="preserve">Produtividade = votos proferidos / despachos totais no mes. E taxa de conversao, nao volume. Variacao de carga nao move o indicador por si.</t>
  </si>
  <si>
    <t xml:space="preserve">Periodo apurado</t>
  </si>
  <si>
    <t xml:space="preserve">dez/2025 a abr/2026 (meses de cobertura integral)</t>
  </si>
  <si>
    <t xml:space="preserve">Regra de contagem declarada</t>
  </si>
  <si>
    <t xml:space="preserve">Conta como voto</t>
  </si>
  <si>
    <t xml:space="preserve">Entradas iniciadas por CONHECIDO O RECURSO DE PARTE E PROVIDO; EMBARGOS DE DECLARACAO ACOLHIDOS; EMBARGOS DE DECLARACAO NAO-ACOLHIDOS; PREJUDICADO O RECURSO; PREJUDICADA A ACAO; INCLUID*.</t>
  </si>
  <si>
    <t xml:space="preserve">Conta como voto em MS</t>
  </si>
  <si>
    <t xml:space="preserve">Na classe Mandado de Seguranca: NAO CONHECIDO O RECURSO DE PARTE; CONCEDIDA A MEDIDA LIMINAR; INDEFERIDA A PETICAO INICIAL; NAO CONCEDIDA A MEDIDA LIMINAR.</t>
  </si>
  <si>
    <t xml:space="preserve">Por que declarar</t>
  </si>
  <si>
    <t xml:space="preserve">A regra e publicada junto com o numero. Quem discorda do criterio pode recalcular a serie inteira sem pedir a base.</t>
  </si>
  <si>
    <t xml:space="preserve">Limites declarados</t>
  </si>
  <si>
    <t xml:space="preserve">Meses de borda</t>
  </si>
  <si>
    <t xml:space="preserve">nov/2025 e mai/2026 tem cobertura parcial e ficam fora de toda comparacao. Aparecem na Base, sinalizados, e nao entram nos agregados.</t>
  </si>
  <si>
    <t xml:space="preserve">Atribuicao causal</t>
  </si>
  <si>
    <t xml:space="preserve">A serie mostra evolucao no periodo. Ela nao prova, sozinha, a causa da evolucao. O teste de robustez trata as duas explicacoes concorrentes mais obvias.</t>
  </si>
  <si>
    <t xml:space="preserve">Registro sem assessor</t>
  </si>
  <si>
    <t xml:space="preserve">Lancamentos sem responsavel atribuido foram excluidos da abertura por servidor.</t>
  </si>
  <si>
    <t xml:space="preserve">Anonimizacao</t>
  </si>
  <si>
    <t xml:space="preserve">Servidores</t>
  </si>
  <si>
    <t xml:space="preserve">Rotulos funcionais estaveis, compativeis com o Controle de Acervo. Nenhum nome, sigla ou identificador de pessoa consta do arquivo.</t>
  </si>
  <si>
    <t xml:space="preserve">Orgao</t>
  </si>
  <si>
    <t xml:space="preserve">Removido.</t>
  </si>
  <si>
    <t xml:space="preserve">BASE</t>
  </si>
  <si>
    <t xml:space="preserve">Fato unico do modelo. Toda medida das demais abas e formula viva sobre esta tabela.</t>
  </si>
  <si>
    <t xml:space="preserve">Mes</t>
  </si>
  <si>
    <t xml:space="preserve">Servidor</t>
  </si>
  <si>
    <t xml:space="preserve">Votos</t>
  </si>
  <si>
    <t xml:space="preserve">Despachos</t>
  </si>
  <si>
    <t xml:space="preserve">Cobertura</t>
  </si>
  <si>
    <t xml:space="preserve">2025-11</t>
  </si>
  <si>
    <t xml:space="preserve">Graduando_2</t>
  </si>
  <si>
    <t xml:space="preserve">parcial</t>
  </si>
  <si>
    <t xml:space="preserve">Assessor_4</t>
  </si>
  <si>
    <t xml:space="preserve">Assessor_3</t>
  </si>
  <si>
    <t xml:space="preserve">Assessor_1</t>
  </si>
  <si>
    <t xml:space="preserve">Novo_2</t>
  </si>
  <si>
    <t xml:space="preserve">Assessor_2</t>
  </si>
  <si>
    <t xml:space="preserve">Novo_1</t>
  </si>
  <si>
    <t xml:space="preserve">Graduando_1</t>
  </si>
  <si>
    <t xml:space="preserve">2025-12</t>
  </si>
  <si>
    <t xml:space="preserve">integral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</si>
  <si>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</si>
  <si>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</si>
  <si>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</si>
  <si>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</si>
  <si>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</si>
  <si>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SERIE MENSAL</t>
  </si>
  <si>
    <t xml:space="preserve">Meses de cobertura integral. A coluna de variacao mede contra o mes inicial.</t>
  </si>
  <si>
    <t xml:space="preserve">Produtividade</t>
  </si>
  <si>
    <t xml:space="preserve">Variacao vs. dez/2025</t>
  </si>
  <si>
    <t xml:space="preserve">Periodo</t>
  </si>
  <si>
    <t xml:space="preserve">GANHO POR SERVIDOR</t>
  </si>
  <si>
    <t xml:space="preserve">Primeiro mes integral contra ultimo mes integral, pessoa a pessoa.</t>
  </si>
  <si>
    <t xml:space="preserve">Produtividade 2025-12</t>
  </si>
  <si>
    <t xml:space="preserve">Produtividade 2026-04</t>
  </si>
  <si>
    <t xml:space="preserve">Variacao</t>
  </si>
  <si>
    <t xml:space="preserve">Votos no periodo</t>
  </si>
  <si>
    <t xml:space="preserve">Despachos no periodo</t>
  </si>
  <si>
    <t xml:space="preserve">Servidores presentes nos dois meses que pioraram</t>
  </si>
  <si>
    <t xml:space="preserve">TESTE DE ROBUSTEZ</t>
  </si>
  <si>
    <t xml:space="preserve">Duas explicacoes concorrentes para a alta, testadas contra a propria base.</t>
  </si>
  <si>
    <t xml:space="preserve">Hipotese 1: a alta veio da entrada de pessoal novo</t>
  </si>
  <si>
    <t xml:space="preserve">Recalculo excluindo servidores que ingressaram durante o periodo (rotulo Novo).</t>
  </si>
  <si>
    <t xml:space="preserve">Com entrantes</t>
  </si>
  <si>
    <t xml:space="preserve">Sem entrantes</t>
  </si>
  <si>
    <t xml:space="preserve">Diferenca</t>
  </si>
  <si>
    <t xml:space="preserve">Leitura</t>
  </si>
  <si>
    <t xml:space="preserve">Se a alta dependesse dos entrantes, a coluna sem entrantes cairia ao patamar inicial. Ela nao cai.</t>
  </si>
  <si>
    <t xml:space="preserve">Hipotese 2: a alta veio de uma pessoa so</t>
  </si>
  <si>
    <t xml:space="preserve">Verificacao na aba Por servidor: contagem de servidores cujo indicador recuou entre o primeiro e o ultimo mes integral.</t>
  </si>
  <si>
    <t xml:space="preserve">Servidores que pioraram</t>
  </si>
  <si>
    <t xml:space="preserve">Ganho concentrado apareceria como avanco de um servidor e recuo dos demais. O padrao observado e o oposto.</t>
  </si>
  <si>
    <t xml:space="preserve">O que o teste nao resolve</t>
  </si>
  <si>
    <t xml:space="preserve">Nenhum dos dois exclui fator externo simultaneo, como mudanca de pauta ou de perfil de entrada. A serie sustenta a evolucao e afasta duas explicacoes. Nao substitui contrafactual.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</si>
</sst>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\+0.0&quot; p.p.&quot;;\-0.0&quot; p.p.&quot;;\-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A63A2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8C8C8C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D3D3D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3D3D3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8C8C8C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A63A23"/>
      <rgbColor rgb="FF993366"/>
      <rgbColor rgb="FF333399"/>
      <rgbColor rgb="FF3D3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3" min="3" style="0" width="92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23.85" hidden="false" customHeight="false" outlineLevel="0" collapsed="false">
      <c r="B5" s="2" t="s">
        <v>2</v>
      </c>
      <c r="C5" s="3" t="s">
        <v>3</v>
      </c>
    </row>
    <row r="6" customFormat="false" ht="23.85" hidden="false" customHeight="false" outlineLevel="0" collapsed="false">
      <c r="B6" s="2" t="s">
        <v>4</v>
      </c>
      <c r="C6" s="3" t="s">
        <v>5</v>
      </c>
    </row>
    <row r="7" customFormat="false" ht="15" hidden="false" customHeight="false" outlineLevel="0" collapsed="false">
      <c r="B7" s="2" t="s">
        <v>6</v>
      </c>
      <c r="C7" s="3" t="s">
        <v>7</v>
      </c>
    </row>
    <row r="9" customFormat="false" ht="15" hidden="false" customHeight="false" outlineLevel="0" collapsed="false">
      <c r="B9" s="4" t="s">
        <v>8</v>
      </c>
    </row>
    <row r="10" customFormat="false" ht="35.05" hidden="false" customHeight="false" outlineLevel="0" collapsed="false">
      <c r="B10" s="2" t="s">
        <v>9</v>
      </c>
      <c r="C10" s="3" t="s">
        <v>10</v>
      </c>
    </row>
    <row r="11" customFormat="false" ht="23.85" hidden="false" customHeight="false" outlineLevel="0" collapsed="false">
      <c r="B11" s="2" t="s">
        <v>11</v>
      </c>
      <c r="C11" s="3" t="s">
        <v>12</v>
      </c>
    </row>
    <row r="12" customFormat="false" ht="23.85" hidden="false" customHeight="false" outlineLevel="0" collapsed="false">
      <c r="B12" s="2" t="s">
        <v>13</v>
      </c>
      <c r="C12" s="3" t="s">
        <v>14</v>
      </c>
    </row>
    <row r="14" customFormat="false" ht="15" hidden="false" customHeight="false" outlineLevel="0" collapsed="false">
      <c r="B14" s="4" t="s">
        <v>15</v>
      </c>
    </row>
    <row r="15" customFormat="false" ht="23.85" hidden="false" customHeight="false" outlineLevel="0" collapsed="false">
      <c r="B15" s="2" t="s">
        <v>16</v>
      </c>
      <c r="C15" s="3" t="s">
        <v>17</v>
      </c>
    </row>
    <row r="16" customFormat="false" ht="23.85" hidden="false" customHeight="false" outlineLevel="0" collapsed="false">
      <c r="B16" s="2" t="s">
        <v>18</v>
      </c>
      <c r="C16" s="3" t="s">
        <v>19</v>
      </c>
    </row>
    <row r="17" customFormat="false" ht="15" hidden="false" customHeight="false" outlineLevel="0" collapsed="false">
      <c r="B17" s="2" t="s">
        <v>20</v>
      </c>
      <c r="C17" s="3" t="s">
        <v>21</v>
      </c>
    </row>
    <row r="19" customFormat="false" ht="15" hidden="false" customHeight="false" outlineLevel="0" collapsed="false">
      <c r="B19" s="4" t="s">
        <v>22</v>
      </c>
    </row>
    <row r="20" customFormat="false" ht="23.85" hidden="false" customHeight="false" outlineLevel="0" collapsed="false">
      <c r="B20" s="2" t="s">
        <v>23</v>
      </c>
      <c r="C20" s="3" t="s">
        <v>24</v>
      </c>
    </row>
    <row r="21" customFormat="false" ht="15" hidden="false" customHeight="false" outlineLevel="0" collapsed="false">
      <c r="B21" s="2" t="s">
        <v>25</v>
      </c>
      <c r="C21" s="3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12"/>
  </cols>
  <sheetData>
    <row r="2" customFormat="false" ht="17.35" hidden="false" customHeight="false" outlineLevel="0" collapsed="false">
      <c r="B2" s="1" t="s">
        <v>27</v>
      </c>
    </row>
    <row r="3" customFormat="false" ht="15" hidden="false" customHeight="false" outlineLevel="0" collapsed="false">
      <c r="B3" s="2" t="s">
        <v>28</v>
      </c>
    </row>
    <row r="5" customFormat="false" ht="15" hidden="false" customHeight="false" outlineLevel="0" collapsed="false">
      <c r="B5" s="5" t="s">
        <v>29</v>
      </c>
      <c r="C5" s="5" t="s">
        <v>30</v>
      </c>
      <c r="D5" s="5" t="s">
        <v>31</v>
      </c>
      <c r="E5" s="5" t="s">
        <v>32</v>
      </c>
      <c r="F5" s="5" t="s">
        <v>33</v>
      </c>
    </row>
    <row r="6" customFormat="false" ht="15" hidden="false" customHeight="false" outlineLevel="0" collapsed="false">
      <c r="B6" s="6" t="s">
        <v>34</v>
      </c>
      <c r="C6" s="6" t="s">
        <v>35</v>
      </c>
      <c r="D6" s="6" t="n">
        <v>0</v>
      </c>
      <c r="E6" s="6" t="n">
        <v>0</v>
      </c>
      <c r="F6" s="6" t="s">
        <v>36</v>
      </c>
    </row>
    <row r="7" customFormat="false" ht="15" hidden="false" customHeight="false" outlineLevel="0" collapsed="false">
      <c r="B7" s="6" t="s">
        <v>34</v>
      </c>
      <c r="C7" s="6" t="s">
        <v>37</v>
      </c>
      <c r="D7" s="6" t="n">
        <v>0</v>
      </c>
      <c r="E7" s="6" t="n">
        <v>0</v>
      </c>
      <c r="F7" s="6" t="s">
        <v>36</v>
      </c>
    </row>
    <row r="8" customFormat="false" ht="15" hidden="false" customHeight="false" outlineLevel="0" collapsed="false">
      <c r="B8" s="6" t="s">
        <v>34</v>
      </c>
      <c r="C8" s="6" t="s">
        <v>38</v>
      </c>
      <c r="D8" s="6" t="n">
        <v>0</v>
      </c>
      <c r="E8" s="6" t="n">
        <v>0</v>
      </c>
      <c r="F8" s="6" t="s">
        <v>36</v>
      </c>
    </row>
    <row r="9" customFormat="false" ht="15" hidden="false" customHeight="false" outlineLevel="0" collapsed="false">
      <c r="B9" s="6" t="s">
        <v>34</v>
      </c>
      <c r="C9" s="6" t="s">
        <v>39</v>
      </c>
      <c r="D9" s="6" t="n">
        <v>0</v>
      </c>
      <c r="E9" s="6" t="n">
        <v>0</v>
      </c>
      <c r="F9" s="6" t="s">
        <v>36</v>
      </c>
    </row>
    <row r="10" customFormat="false" ht="15" hidden="false" customHeight="false" outlineLevel="0" collapsed="false">
      <c r="B10" s="6" t="s">
        <v>34</v>
      </c>
      <c r="C10" s="6" t="s">
        <v>40</v>
      </c>
      <c r="D10" s="6" t="n">
        <v>0</v>
      </c>
      <c r="E10" s="6" t="n">
        <v>0</v>
      </c>
      <c r="F10" s="6" t="s">
        <v>36</v>
      </c>
    </row>
    <row r="11" customFormat="false" ht="15" hidden="false" customHeight="false" outlineLevel="0" collapsed="false">
      <c r="B11" s="6" t="s">
        <v>34</v>
      </c>
      <c r="C11" s="6" t="s">
        <v>41</v>
      </c>
      <c r="D11" s="6" t="n">
        <v>0</v>
      </c>
      <c r="E11" s="6" t="n">
        <v>0</v>
      </c>
      <c r="F11" s="6" t="s">
        <v>36</v>
      </c>
    </row>
    <row r="12" customFormat="false" ht="15" hidden="false" customHeight="false" outlineLevel="0" collapsed="false">
      <c r="B12" s="6" t="s">
        <v>34</v>
      </c>
      <c r="C12" s="6" t="s">
        <v>42</v>
      </c>
      <c r="D12" s="6" t="n">
        <v>0</v>
      </c>
      <c r="E12" s="6" t="n">
        <v>0</v>
      </c>
      <c r="F12" s="6" t="s">
        <v>36</v>
      </c>
    </row>
    <row r="13" customFormat="false" ht="15" hidden="false" customHeight="false" outlineLevel="0" collapsed="false">
      <c r="B13" s="6" t="s">
        <v>34</v>
      </c>
      <c r="C13" s="6" t="s">
        <v>43</v>
      </c>
      <c r="D13" s="6" t="n">
        <v>0</v>
      </c>
      <c r="E13" s="6" t="n">
        <v>2</v>
      </c>
      <c r="F13" s="6" t="s">
        <v>36</v>
      </c>
    </row>
    <row r="14" customFormat="false" ht="15" hidden="false" customHeight="false" outlineLevel="0" collapsed="false">
      <c r="B14" s="2" t="s">
        <v>44</v>
      </c>
      <c r="C14" s="2" t="s">
        <v>35</v>
      </c>
      <c r="D14" s="2" t="n">
        <v>12</v>
      </c>
      <c r="E14" s="2" t="n">
        <v>30</v>
      </c>
      <c r="F14" s="2" t="s">
        <v>45</v>
      </c>
    </row>
    <row r="15" customFormat="false" ht="15" hidden="false" customHeight="false" outlineLevel="0" collapsed="false">
      <c r="B15" s="2" t="s">
        <v>44</v>
      </c>
      <c r="C15" s="2" t="s">
        <v>37</v>
      </c>
      <c r="D15" s="2" t="n">
        <v>29</v>
      </c>
      <c r="E15" s="2" t="n">
        <v>47</v>
      </c>
      <c r="F15" s="2" t="s">
        <v>45</v>
      </c>
    </row>
    <row r="16" customFormat="false" ht="15" hidden="false" customHeight="false" outlineLevel="0" collapsed="false">
      <c r="B16" s="2" t="s">
        <v>44</v>
      </c>
      <c r="C16" s="2" t="s">
        <v>38</v>
      </c>
      <c r="D16" s="2" t="n">
        <v>16</v>
      </c>
      <c r="E16" s="2" t="n">
        <v>43</v>
      </c>
      <c r="F16" s="2" t="s">
        <v>45</v>
      </c>
    </row>
    <row r="17" customFormat="false" ht="15" hidden="false" customHeight="false" outlineLevel="0" collapsed="false">
      <c r="B17" s="2" t="s">
        <v>44</v>
      </c>
      <c r="C17" s="2" t="s">
        <v>39</v>
      </c>
      <c r="D17" s="2" t="n">
        <v>23</v>
      </c>
      <c r="E17" s="2" t="n">
        <v>59</v>
      </c>
      <c r="F17" s="2" t="s">
        <v>45</v>
      </c>
    </row>
    <row r="18" customFormat="false" ht="15" hidden="false" customHeight="false" outlineLevel="0" collapsed="false">
      <c r="B18" s="2" t="s">
        <v>44</v>
      </c>
      <c r="C18" s="2" t="s">
        <v>40</v>
      </c>
      <c r="D18" s="2" t="n">
        <v>0</v>
      </c>
      <c r="E18" s="2" t="n">
        <v>0</v>
      </c>
      <c r="F18" s="2" t="s">
        <v>45</v>
      </c>
    </row>
    <row r="19" customFormat="false" ht="15" hidden="false" customHeight="false" outlineLevel="0" collapsed="false">
      <c r="B19" s="2" t="s">
        <v>44</v>
      </c>
      <c r="C19" s="2" t="s">
        <v>41</v>
      </c>
      <c r="D19" s="2" t="n">
        <v>32</v>
      </c>
      <c r="E19" s="2" t="n">
        <v>54</v>
      </c>
      <c r="F19" s="2" t="s">
        <v>45</v>
      </c>
    </row>
    <row r="20" customFormat="false" ht="15" hidden="false" customHeight="false" outlineLevel="0" collapsed="false">
      <c r="B20" s="2" t="s">
        <v>44</v>
      </c>
      <c r="C20" s="2" t="s">
        <v>42</v>
      </c>
      <c r="D20" s="2" t="n">
        <v>0</v>
      </c>
      <c r="E20" s="2" t="n">
        <v>0</v>
      </c>
      <c r="F20" s="2" t="s">
        <v>45</v>
      </c>
    </row>
    <row r="21" customFormat="false" ht="15" hidden="false" customHeight="false" outlineLevel="0" collapsed="false">
      <c r="B21" s="2" t="s">
        <v>44</v>
      </c>
      <c r="C21" s="2" t="s">
        <v>43</v>
      </c>
      <c r="D21" s="2" t="n">
        <v>14</v>
      </c>
      <c r="E21" s="2" t="n">
        <v>52</v>
      </c>
      <c r="F21" s="2" t="s">
        <v>45</v>
      </c>
    </row>
    <row r="22" customFormat="false" ht="15" hidden="false" customHeight="false" outlineLevel="0" collapsed="false">
      <c r="B22" s="2" t="s">
        <v>46</v>
      </c>
      <c r="C22" s="2" t="s">
        <v>35</v>
      </c>
      <c r="D22" s="2" t="n">
        <v>16</v>
      </c>
      <c r="E22" s="2" t="n">
        <v>28</v>
      </c>
      <c r="F22" s="2" t="s">
        <v>45</v>
      </c>
    </row>
    <row r="23" customFormat="false" ht="15" hidden="false" customHeight="false" outlineLevel="0" collapsed="false">
      <c r="B23" s="2" t="s">
        <v>46</v>
      </c>
      <c r="C23" s="2" t="s">
        <v>37</v>
      </c>
      <c r="D23" s="2" t="n">
        <v>32</v>
      </c>
      <c r="E23" s="2" t="n">
        <v>50</v>
      </c>
      <c r="F23" s="2" t="s">
        <v>45</v>
      </c>
    </row>
    <row r="24" customFormat="false" ht="15" hidden="false" customHeight="false" outlineLevel="0" collapsed="false">
      <c r="B24" s="2" t="s">
        <v>46</v>
      </c>
      <c r="C24" s="2" t="s">
        <v>38</v>
      </c>
      <c r="D24" s="2" t="n">
        <v>21</v>
      </c>
      <c r="E24" s="2" t="n">
        <v>47</v>
      </c>
      <c r="F24" s="2" t="s">
        <v>45</v>
      </c>
    </row>
    <row r="25" customFormat="false" ht="15" hidden="false" customHeight="false" outlineLevel="0" collapsed="false">
      <c r="B25" s="2" t="s">
        <v>46</v>
      </c>
      <c r="C25" s="2" t="s">
        <v>39</v>
      </c>
      <c r="D25" s="2" t="n">
        <v>27</v>
      </c>
      <c r="E25" s="2" t="n">
        <v>85</v>
      </c>
      <c r="F25" s="2" t="s">
        <v>45</v>
      </c>
    </row>
    <row r="26" customFormat="false" ht="15" hidden="false" customHeight="false" outlineLevel="0" collapsed="false">
      <c r="B26" s="2" t="s">
        <v>46</v>
      </c>
      <c r="C26" s="2" t="s">
        <v>40</v>
      </c>
      <c r="D26" s="2" t="n">
        <v>0</v>
      </c>
      <c r="E26" s="2" t="n">
        <v>0</v>
      </c>
      <c r="F26" s="2" t="s">
        <v>45</v>
      </c>
    </row>
    <row r="27" customFormat="false" ht="15" hidden="false" customHeight="false" outlineLevel="0" collapsed="false">
      <c r="B27" s="2" t="s">
        <v>46</v>
      </c>
      <c r="C27" s="2" t="s">
        <v>41</v>
      </c>
      <c r="D27" s="2" t="n">
        <v>35</v>
      </c>
      <c r="E27" s="2" t="n">
        <v>67</v>
      </c>
      <c r="F27" s="2" t="s">
        <v>45</v>
      </c>
    </row>
    <row r="28" customFormat="false" ht="15" hidden="false" customHeight="false" outlineLevel="0" collapsed="false">
      <c r="B28" s="2" t="s">
        <v>46</v>
      </c>
      <c r="C28" s="2" t="s">
        <v>42</v>
      </c>
      <c r="D28" s="2" t="n">
        <v>0</v>
      </c>
      <c r="E28" s="2" t="n">
        <v>0</v>
      </c>
      <c r="F28" s="2" t="s">
        <v>45</v>
      </c>
    </row>
    <row r="29" customFormat="false" ht="15" hidden="false" customHeight="false" outlineLevel="0" collapsed="false">
      <c r="B29" s="2" t="s">
        <v>46</v>
      </c>
      <c r="C29" s="2" t="s">
        <v>43</v>
      </c>
      <c r="D29" s="2" t="n">
        <v>7</v>
      </c>
      <c r="E29" s="2" t="n">
        <v>15</v>
      </c>
      <c r="F29" s="2" t="s">
        <v>45</v>
      </c>
    </row>
    <row r="30" customFormat="false" ht="15" hidden="false" customHeight="false" outlineLevel="0" collapsed="false">
      <c r="B30" s="2" t="s">
        <v>47</v>
      </c>
      <c r="C30" s="2" t="s">
        <v>35</v>
      </c>
      <c r="D30" s="2" t="n">
        <v>19</v>
      </c>
      <c r="E30" s="2" t="n">
        <v>34</v>
      </c>
      <c r="F30" s="2" t="s">
        <v>45</v>
      </c>
    </row>
    <row r="31" customFormat="false" ht="15" hidden="false" customHeight="false" outlineLevel="0" collapsed="false">
      <c r="B31" s="2" t="s">
        <v>47</v>
      </c>
      <c r="C31" s="2" t="s">
        <v>37</v>
      </c>
      <c r="D31" s="2" t="n">
        <v>25</v>
      </c>
      <c r="E31" s="2" t="n">
        <v>49</v>
      </c>
      <c r="F31" s="2" t="s">
        <v>45</v>
      </c>
    </row>
    <row r="32" customFormat="false" ht="15" hidden="false" customHeight="false" outlineLevel="0" collapsed="false">
      <c r="B32" s="2" t="s">
        <v>47</v>
      </c>
      <c r="C32" s="2" t="s">
        <v>38</v>
      </c>
      <c r="D32" s="2" t="n">
        <v>29</v>
      </c>
      <c r="E32" s="2" t="n">
        <v>55</v>
      </c>
      <c r="F32" s="2" t="s">
        <v>45</v>
      </c>
    </row>
    <row r="33" customFormat="false" ht="15" hidden="false" customHeight="false" outlineLevel="0" collapsed="false">
      <c r="B33" s="2" t="s">
        <v>47</v>
      </c>
      <c r="C33" s="2" t="s">
        <v>39</v>
      </c>
      <c r="D33" s="2" t="n">
        <v>42</v>
      </c>
      <c r="E33" s="2" t="n">
        <v>84</v>
      </c>
      <c r="F33" s="2" t="s">
        <v>45</v>
      </c>
    </row>
    <row r="34" customFormat="false" ht="15" hidden="false" customHeight="false" outlineLevel="0" collapsed="false">
      <c r="B34" s="2" t="s">
        <v>47</v>
      </c>
      <c r="C34" s="2" t="s">
        <v>40</v>
      </c>
      <c r="D34" s="2" t="n">
        <v>0</v>
      </c>
      <c r="E34" s="2" t="n">
        <v>0</v>
      </c>
      <c r="F34" s="2" t="s">
        <v>45</v>
      </c>
    </row>
    <row r="35" customFormat="false" ht="15" hidden="false" customHeight="false" outlineLevel="0" collapsed="false">
      <c r="B35" s="2" t="s">
        <v>47</v>
      </c>
      <c r="C35" s="2" t="s">
        <v>41</v>
      </c>
      <c r="D35" s="2" t="n">
        <v>40</v>
      </c>
      <c r="E35" s="2" t="n">
        <v>79</v>
      </c>
      <c r="F35" s="2" t="s">
        <v>45</v>
      </c>
    </row>
    <row r="36" customFormat="false" ht="15" hidden="false" customHeight="false" outlineLevel="0" collapsed="false">
      <c r="B36" s="2" t="s">
        <v>47</v>
      </c>
      <c r="C36" s="2" t="s">
        <v>42</v>
      </c>
      <c r="D36" s="2" t="n">
        <v>0</v>
      </c>
      <c r="E36" s="2" t="n">
        <v>0</v>
      </c>
      <c r="F36" s="2" t="s">
        <v>45</v>
      </c>
    </row>
    <row r="37" customFormat="false" ht="15" hidden="false" customHeight="false" outlineLevel="0" collapsed="false">
      <c r="B37" s="2" t="s">
        <v>47</v>
      </c>
      <c r="C37" s="2" t="s">
        <v>43</v>
      </c>
      <c r="D37" s="2" t="n">
        <v>23</v>
      </c>
      <c r="E37" s="2" t="n">
        <v>46</v>
      </c>
      <c r="F37" s="2" t="s">
        <v>45</v>
      </c>
    </row>
    <row r="38" customFormat="false" ht="15" hidden="false" customHeight="false" outlineLevel="0" collapsed="false">
      <c r="B38" s="2" t="s">
        <v>48</v>
      </c>
      <c r="C38" s="2" t="s">
        <v>35</v>
      </c>
      <c r="D38" s="2" t="n">
        <v>22</v>
      </c>
      <c r="E38" s="2" t="n">
        <v>57</v>
      </c>
      <c r="F38" s="2" t="s">
        <v>45</v>
      </c>
    </row>
    <row r="39" customFormat="false" ht="15" hidden="false" customHeight="false" outlineLevel="0" collapsed="false">
      <c r="B39" s="2" t="s">
        <v>48</v>
      </c>
      <c r="C39" s="2" t="s">
        <v>37</v>
      </c>
      <c r="D39" s="2" t="n">
        <v>25</v>
      </c>
      <c r="E39" s="2" t="n">
        <v>46</v>
      </c>
      <c r="F39" s="2" t="s">
        <v>45</v>
      </c>
    </row>
    <row r="40" customFormat="false" ht="15" hidden="false" customHeight="false" outlineLevel="0" collapsed="false">
      <c r="B40" s="2" t="s">
        <v>48</v>
      </c>
      <c r="C40" s="2" t="s">
        <v>38</v>
      </c>
      <c r="D40" s="2" t="n">
        <v>36</v>
      </c>
      <c r="E40" s="2" t="n">
        <v>68</v>
      </c>
      <c r="F40" s="2" t="s">
        <v>45</v>
      </c>
    </row>
    <row r="41" customFormat="false" ht="15" hidden="false" customHeight="false" outlineLevel="0" collapsed="false">
      <c r="B41" s="2" t="s">
        <v>48</v>
      </c>
      <c r="C41" s="2" t="s">
        <v>39</v>
      </c>
      <c r="D41" s="2" t="n">
        <v>42</v>
      </c>
      <c r="E41" s="2" t="n">
        <v>74</v>
      </c>
      <c r="F41" s="2" t="s">
        <v>45</v>
      </c>
    </row>
    <row r="42" customFormat="false" ht="15" hidden="false" customHeight="false" outlineLevel="0" collapsed="false">
      <c r="B42" s="2" t="s">
        <v>48</v>
      </c>
      <c r="C42" s="2" t="s">
        <v>40</v>
      </c>
      <c r="D42" s="2" t="n">
        <v>2</v>
      </c>
      <c r="E42" s="2" t="n">
        <v>10</v>
      </c>
      <c r="F42" s="2" t="s">
        <v>45</v>
      </c>
    </row>
    <row r="43" customFormat="false" ht="15" hidden="false" customHeight="false" outlineLevel="0" collapsed="false">
      <c r="B43" s="2" t="s">
        <v>48</v>
      </c>
      <c r="C43" s="2" t="s">
        <v>41</v>
      </c>
      <c r="D43" s="2" t="n">
        <v>43</v>
      </c>
      <c r="E43" s="2" t="n">
        <v>75</v>
      </c>
      <c r="F43" s="2" t="s">
        <v>45</v>
      </c>
    </row>
    <row r="44" customFormat="false" ht="15" hidden="false" customHeight="false" outlineLevel="0" collapsed="false">
      <c r="B44" s="2" t="s">
        <v>48</v>
      </c>
      <c r="C44" s="2" t="s">
        <v>42</v>
      </c>
      <c r="D44" s="2" t="n">
        <v>0</v>
      </c>
      <c r="E44" s="2" t="n">
        <v>0</v>
      </c>
      <c r="F44" s="2" t="s">
        <v>45</v>
      </c>
    </row>
    <row r="45" customFormat="false" ht="15" hidden="false" customHeight="false" outlineLevel="0" collapsed="false">
      <c r="B45" s="2" t="s">
        <v>48</v>
      </c>
      <c r="C45" s="2" t="s">
        <v>43</v>
      </c>
      <c r="D45" s="2" t="n">
        <v>19</v>
      </c>
      <c r="E45" s="2" t="n">
        <v>43</v>
      </c>
      <c r="F45" s="2" t="s">
        <v>45</v>
      </c>
    </row>
    <row r="46" customFormat="false" ht="15" hidden="false" customHeight="false" outlineLevel="0" collapsed="false">
      <c r="B46" s="2" t="s">
        <v>49</v>
      </c>
      <c r="C46" s="2" t="s">
        <v>35</v>
      </c>
      <c r="D46" s="2" t="n">
        <v>18</v>
      </c>
      <c r="E46" s="2" t="n">
        <v>32</v>
      </c>
      <c r="F46" s="2" t="s">
        <v>45</v>
      </c>
    </row>
    <row r="47" customFormat="false" ht="15" hidden="false" customHeight="false" outlineLevel="0" collapsed="false">
      <c r="B47" s="2" t="s">
        <v>49</v>
      </c>
      <c r="C47" s="2" t="s">
        <v>37</v>
      </c>
      <c r="D47" s="2" t="n">
        <v>40</v>
      </c>
      <c r="E47" s="2" t="n">
        <v>61</v>
      </c>
      <c r="F47" s="2" t="s">
        <v>45</v>
      </c>
    </row>
    <row r="48" customFormat="false" ht="15" hidden="false" customHeight="false" outlineLevel="0" collapsed="false">
      <c r="B48" s="2" t="s">
        <v>49</v>
      </c>
      <c r="C48" s="2" t="s">
        <v>38</v>
      </c>
      <c r="D48" s="2" t="n">
        <v>50</v>
      </c>
      <c r="E48" s="2" t="n">
        <v>84</v>
      </c>
      <c r="F48" s="2" t="s">
        <v>45</v>
      </c>
    </row>
    <row r="49" customFormat="false" ht="15" hidden="false" customHeight="false" outlineLevel="0" collapsed="false">
      <c r="B49" s="2" t="s">
        <v>49</v>
      </c>
      <c r="C49" s="2" t="s">
        <v>39</v>
      </c>
      <c r="D49" s="2" t="n">
        <v>45</v>
      </c>
      <c r="E49" s="2" t="n">
        <v>84</v>
      </c>
      <c r="F49" s="2" t="s">
        <v>45</v>
      </c>
    </row>
    <row r="50" customFormat="false" ht="15" hidden="false" customHeight="false" outlineLevel="0" collapsed="false">
      <c r="B50" s="2" t="s">
        <v>49</v>
      </c>
      <c r="C50" s="2" t="s">
        <v>40</v>
      </c>
      <c r="D50" s="2" t="n">
        <v>21</v>
      </c>
      <c r="E50" s="2" t="n">
        <v>33</v>
      </c>
      <c r="F50" s="2" t="s">
        <v>45</v>
      </c>
    </row>
    <row r="51" customFormat="false" ht="15" hidden="false" customHeight="false" outlineLevel="0" collapsed="false">
      <c r="B51" s="2" t="s">
        <v>49</v>
      </c>
      <c r="C51" s="2" t="s">
        <v>41</v>
      </c>
      <c r="D51" s="2" t="n">
        <v>39</v>
      </c>
      <c r="E51" s="2" t="n">
        <v>60</v>
      </c>
      <c r="F51" s="2" t="s">
        <v>45</v>
      </c>
    </row>
    <row r="52" customFormat="false" ht="15" hidden="false" customHeight="false" outlineLevel="0" collapsed="false">
      <c r="B52" s="2" t="s">
        <v>49</v>
      </c>
      <c r="C52" s="2" t="s">
        <v>42</v>
      </c>
      <c r="D52" s="2" t="n">
        <v>3</v>
      </c>
      <c r="E52" s="2" t="n">
        <v>5</v>
      </c>
      <c r="F52" s="2" t="s">
        <v>45</v>
      </c>
    </row>
    <row r="53" customFormat="false" ht="15" hidden="false" customHeight="false" outlineLevel="0" collapsed="false">
      <c r="B53" s="2" t="s">
        <v>49</v>
      </c>
      <c r="C53" s="2" t="s">
        <v>43</v>
      </c>
      <c r="D53" s="2" t="n">
        <v>34</v>
      </c>
      <c r="E53" s="2" t="n">
        <v>55</v>
      </c>
      <c r="F53" s="2" t="s">
        <v>45</v>
      </c>
    </row>
    <row r="54" customFormat="false" ht="15" hidden="false" customHeight="false" outlineLevel="0" collapsed="false">
      <c r="B54" s="6" t="s">
        <v>50</v>
      </c>
      <c r="C54" s="6" t="s">
        <v>35</v>
      </c>
      <c r="D54" s="6" t="n">
        <v>2</v>
      </c>
      <c r="E54" s="6" t="n">
        <v>9</v>
      </c>
      <c r="F54" s="6" t="s">
        <v>36</v>
      </c>
    </row>
    <row r="55" customFormat="false" ht="15" hidden="false" customHeight="false" outlineLevel="0" collapsed="false">
      <c r="B55" s="6" t="s">
        <v>50</v>
      </c>
      <c r="C55" s="6" t="s">
        <v>37</v>
      </c>
      <c r="D55" s="6" t="n">
        <v>2</v>
      </c>
      <c r="E55" s="6" t="n">
        <v>5</v>
      </c>
      <c r="F55" s="6" t="s">
        <v>36</v>
      </c>
    </row>
    <row r="56" customFormat="false" ht="15" hidden="false" customHeight="false" outlineLevel="0" collapsed="false">
      <c r="B56" s="6" t="s">
        <v>50</v>
      </c>
      <c r="C56" s="6" t="s">
        <v>38</v>
      </c>
      <c r="D56" s="6" t="n">
        <v>3</v>
      </c>
      <c r="E56" s="6" t="n">
        <v>8</v>
      </c>
      <c r="F56" s="6" t="s">
        <v>36</v>
      </c>
    </row>
    <row r="57" customFormat="false" ht="15" hidden="false" customHeight="false" outlineLevel="0" collapsed="false">
      <c r="B57" s="6" t="s">
        <v>50</v>
      </c>
      <c r="C57" s="6" t="s">
        <v>39</v>
      </c>
      <c r="D57" s="6" t="n">
        <v>4</v>
      </c>
      <c r="E57" s="6" t="n">
        <v>11</v>
      </c>
      <c r="F57" s="6" t="s">
        <v>36</v>
      </c>
    </row>
    <row r="58" customFormat="false" ht="15" hidden="false" customHeight="false" outlineLevel="0" collapsed="false">
      <c r="B58" s="6" t="s">
        <v>50</v>
      </c>
      <c r="C58" s="6" t="s">
        <v>40</v>
      </c>
      <c r="D58" s="6" t="n">
        <v>1</v>
      </c>
      <c r="E58" s="6" t="n">
        <v>1</v>
      </c>
      <c r="F58" s="6" t="s">
        <v>36</v>
      </c>
    </row>
    <row r="59" customFormat="false" ht="15" hidden="false" customHeight="false" outlineLevel="0" collapsed="false">
      <c r="B59" s="6" t="s">
        <v>50</v>
      </c>
      <c r="C59" s="6" t="s">
        <v>41</v>
      </c>
      <c r="D59" s="6" t="n">
        <v>3</v>
      </c>
      <c r="E59" s="6" t="n">
        <v>10</v>
      </c>
      <c r="F59" s="6" t="s">
        <v>36</v>
      </c>
    </row>
    <row r="60" customFormat="false" ht="15" hidden="false" customHeight="false" outlineLevel="0" collapsed="false">
      <c r="B60" s="6" t="s">
        <v>50</v>
      </c>
      <c r="C60" s="6" t="s">
        <v>42</v>
      </c>
      <c r="D60" s="6" t="n">
        <v>1</v>
      </c>
      <c r="E60" s="6" t="n">
        <v>1</v>
      </c>
      <c r="F60" s="6" t="s">
        <v>36</v>
      </c>
    </row>
    <row r="61" customFormat="false" ht="15" hidden="false" customHeight="false" outlineLevel="0" collapsed="false">
      <c r="B61" s="6" t="s">
        <v>50</v>
      </c>
      <c r="C61" s="6" t="s">
        <v>43</v>
      </c>
      <c r="D61" s="6" t="n">
        <v>2</v>
      </c>
      <c r="E61" s="6" t="n">
        <v>3</v>
      </c>
      <c r="F61" s="6" t="s">
        <v>36</v>
      </c>
    </row>
  </sheetData>
  <autoFilter ref="B5:F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22"/>
  </cols>
  <sheetData>
    <row r="2" customFormat="false" ht="17.35" hidden="false" customHeight="false" outlineLevel="0" collapsed="false">
      <c r="B2" s="1" t="s">
        <v>51</v>
      </c>
    </row>
    <row r="3" customFormat="false" ht="15" hidden="false" customHeight="false" outlineLevel="0" collapsed="false">
      <c r="B3" s="2" t="s">
        <v>52</v>
      </c>
    </row>
    <row r="5" customFormat="false" ht="15" hidden="false" customHeight="false" outlineLevel="0" collapsed="false">
      <c r="B5" s="5" t="s">
        <v>29</v>
      </c>
      <c r="C5" s="5" t="s">
        <v>31</v>
      </c>
      <c r="D5" s="5" t="s">
        <v>32</v>
      </c>
      <c r="E5" s="5" t="s">
        <v>53</v>
      </c>
      <c r="F5" s="5" t="s">
        <v>54</v>
      </c>
    </row>
    <row r="6" customFormat="false" ht="15" hidden="false" customHeight="false" outlineLevel="0" collapsed="false">
      <c r="B6" s="2" t="s">
        <v>44</v>
      </c>
      <c r="C6" s="2" t="n">
        <f aca="false">SUMIF(Base!$B$6:$B$61,$B6,Base!$D$6:$D$61)</f>
        <v>126</v>
      </c>
      <c r="D6" s="2" t="n">
        <f aca="false">SUMIF(Base!$B$6:$B$61,$B6,Base!$E$6:$E$61)</f>
        <v>285</v>
      </c>
      <c r="E6" s="7" t="n">
        <f aca="false">IFERROR(C6/D6,0)</f>
        <v>0.442105263157895</v>
      </c>
      <c r="F6" s="8"/>
    </row>
    <row r="7" customFormat="false" ht="15" hidden="false" customHeight="false" outlineLevel="0" collapsed="false">
      <c r="B7" s="2" t="s">
        <v>46</v>
      </c>
      <c r="C7" s="2" t="n">
        <f aca="false">SUMIF(Base!$B$6:$B$61,$B7,Base!$D$6:$D$61)</f>
        <v>138</v>
      </c>
      <c r="D7" s="2" t="n">
        <f aca="false">SUMIF(Base!$B$6:$B$61,$B7,Base!$E$6:$E$61)</f>
        <v>292</v>
      </c>
      <c r="E7" s="7" t="n">
        <f aca="false">IFERROR(C7/D7,0)</f>
        <v>0.472602739726027</v>
      </c>
      <c r="F7" s="8" t="n">
        <f aca="false">IFERROR(E7-$E$6,0)</f>
        <v>0.0304974765681327</v>
      </c>
    </row>
    <row r="8" customFormat="false" ht="15" hidden="false" customHeight="false" outlineLevel="0" collapsed="false">
      <c r="B8" s="2" t="s">
        <v>47</v>
      </c>
      <c r="C8" s="2" t="n">
        <f aca="false">SUMIF(Base!$B$6:$B$61,$B8,Base!$D$6:$D$61)</f>
        <v>178</v>
      </c>
      <c r="D8" s="2" t="n">
        <f aca="false">SUMIF(Base!$B$6:$B$61,$B8,Base!$E$6:$E$61)</f>
        <v>347</v>
      </c>
      <c r="E8" s="7" t="n">
        <f aca="false">IFERROR(C8/D8,0)</f>
        <v>0.512968299711816</v>
      </c>
      <c r="F8" s="8" t="n">
        <f aca="false">IFERROR(E8-$E$6,0)</f>
        <v>0.0708630365539208</v>
      </c>
    </row>
    <row r="9" customFormat="false" ht="15" hidden="false" customHeight="false" outlineLevel="0" collapsed="false">
      <c r="B9" s="2" t="s">
        <v>48</v>
      </c>
      <c r="C9" s="2" t="n">
        <f aca="false">SUMIF(Base!$B$6:$B$61,$B9,Base!$D$6:$D$61)</f>
        <v>189</v>
      </c>
      <c r="D9" s="2" t="n">
        <f aca="false">SUMIF(Base!$B$6:$B$61,$B9,Base!$E$6:$E$61)</f>
        <v>373</v>
      </c>
      <c r="E9" s="7" t="n">
        <f aca="false">IFERROR(C9/D9,0)</f>
        <v>0.506702412868633</v>
      </c>
      <c r="F9" s="8" t="n">
        <f aca="false">IFERROR(E9-$E$6,0)</f>
        <v>0.064597149710738</v>
      </c>
    </row>
    <row r="10" customFormat="false" ht="15" hidden="false" customHeight="false" outlineLevel="0" collapsed="false">
      <c r="B10" s="2" t="s">
        <v>49</v>
      </c>
      <c r="C10" s="2" t="n">
        <f aca="false">SUMIF(Base!$B$6:$B$61,$B10,Base!$D$6:$D$61)</f>
        <v>250</v>
      </c>
      <c r="D10" s="2" t="n">
        <f aca="false">SUMIF(Base!$B$6:$B$61,$B10,Base!$E$6:$E$61)</f>
        <v>414</v>
      </c>
      <c r="E10" s="7" t="n">
        <f aca="false">IFERROR(C10/D10,0)</f>
        <v>0.603864734299517</v>
      </c>
      <c r="F10" s="8" t="n">
        <f aca="false">IFERROR(E10-$E$6,0)</f>
        <v>0.161759471141622</v>
      </c>
    </row>
    <row r="11" customFormat="false" ht="15" hidden="false" customHeight="false" outlineLevel="0" collapsed="false">
      <c r="B11" s="4" t="s">
        <v>55</v>
      </c>
      <c r="C11" s="4" t="n">
        <f aca="false">SUM(C6:C10)</f>
        <v>881</v>
      </c>
      <c r="D11" s="4" t="n">
        <f aca="false">SUM(D6:D10)</f>
        <v>1711</v>
      </c>
      <c r="E11" s="9" t="n">
        <f aca="false">IFERROR(C11/D11,0)</f>
        <v>0.514903565166569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6"/>
    <col collapsed="false" customWidth="true" hidden="false" outlineLevel="0" max="4" min="3" style="0" width="18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20"/>
  </cols>
  <sheetData>
    <row r="2" customFormat="false" ht="17.35" hidden="false" customHeight="false" outlineLevel="0" collapsed="false">
      <c r="B2" s="1" t="s">
        <v>56</v>
      </c>
    </row>
    <row r="3" customFormat="false" ht="15" hidden="false" customHeight="false" outlineLevel="0" collapsed="false">
      <c r="B3" s="2" t="s">
        <v>57</v>
      </c>
    </row>
    <row r="5" customFormat="false" ht="23.85" hidden="false" customHeight="false" outlineLevel="0" collapsed="false">
      <c r="B5" s="10" t="s">
        <v>30</v>
      </c>
      <c r="C5" s="10" t="s">
        <v>58</v>
      </c>
      <c r="D5" s="10" t="s">
        <v>59</v>
      </c>
      <c r="E5" s="10" t="s">
        <v>60</v>
      </c>
      <c r="F5" s="10" t="s">
        <v>61</v>
      </c>
      <c r="G5" s="10" t="s">
        <v>62</v>
      </c>
    </row>
    <row r="6" customFormat="false" ht="15" hidden="false" customHeight="false" outlineLevel="0" collapsed="false">
      <c r="B6" s="2" t="s">
        <v>39</v>
      </c>
      <c r="C6" s="7" t="n">
        <f aca="false">IFERROR(SUMIFS(Base!$D$6:$D$61,Base!$B$6:$B$61,"2025-12",Base!$C$6:$C$61,$B6)/SUMIFS(Base!$E$6:$E$61,Base!$B$6:$B$61,"2025-12",Base!$C$6:$C$61,$B6),"")</f>
        <v>0.389830508474576</v>
      </c>
      <c r="D6" s="7" t="n">
        <f aca="false">IFERROR(SUMIFS(Base!$D$6:$D$61,Base!$B$6:$B$61,"2026-04",Base!$C$6:$C$61,$B6)/SUMIFS(Base!$E$6:$E$61,Base!$B$6:$B$61,"2026-04",Base!$C$6:$C$61,$B6),"")</f>
        <v>0.535714285714286</v>
      </c>
      <c r="E6" s="8" t="n">
        <f aca="false">IFERROR(D6-C6,"")</f>
        <v>0.145883777239709</v>
      </c>
      <c r="F6" s="2" t="n">
        <f aca="false">SUMIFS(Base!$D$6:$D$61,Base!$C$6:$C$61,$B6)</f>
        <v>183</v>
      </c>
      <c r="G6" s="2" t="n">
        <f aca="false">SUMIFS(Base!$E$6:$E$61,Base!$C$6:$C$61,$B6)</f>
        <v>397</v>
      </c>
    </row>
    <row r="7" customFormat="false" ht="15" hidden="false" customHeight="false" outlineLevel="0" collapsed="false">
      <c r="B7" s="2" t="s">
        <v>41</v>
      </c>
      <c r="C7" s="7" t="n">
        <f aca="false">IFERROR(SUMIFS(Base!$D$6:$D$61,Base!$B$6:$B$61,"2025-12",Base!$C$6:$C$61,$B7)/SUMIFS(Base!$E$6:$E$61,Base!$B$6:$B$61,"2025-12",Base!$C$6:$C$61,$B7),"")</f>
        <v>0.592592592592593</v>
      </c>
      <c r="D7" s="7" t="n">
        <f aca="false">IFERROR(SUMIFS(Base!$D$6:$D$61,Base!$B$6:$B$61,"2026-04",Base!$C$6:$C$61,$B7)/SUMIFS(Base!$E$6:$E$61,Base!$B$6:$B$61,"2026-04",Base!$C$6:$C$61,$B7),"")</f>
        <v>0.65</v>
      </c>
      <c r="E7" s="8" t="n">
        <f aca="false">IFERROR(D7-C7,"")</f>
        <v>0.0574074074074075</v>
      </c>
      <c r="F7" s="2" t="n">
        <f aca="false">SUMIFS(Base!$D$6:$D$61,Base!$C$6:$C$61,$B7)</f>
        <v>192</v>
      </c>
      <c r="G7" s="2" t="n">
        <f aca="false">SUMIFS(Base!$E$6:$E$61,Base!$C$6:$C$61,$B7)</f>
        <v>345</v>
      </c>
    </row>
    <row r="8" customFormat="false" ht="15" hidden="false" customHeight="false" outlineLevel="0" collapsed="false">
      <c r="B8" s="2" t="s">
        <v>38</v>
      </c>
      <c r="C8" s="7" t="n">
        <f aca="false">IFERROR(SUMIFS(Base!$D$6:$D$61,Base!$B$6:$B$61,"2025-12",Base!$C$6:$C$61,$B8)/SUMIFS(Base!$E$6:$E$61,Base!$B$6:$B$61,"2025-12",Base!$C$6:$C$61,$B8),"")</f>
        <v>0.372093023255814</v>
      </c>
      <c r="D8" s="7" t="n">
        <f aca="false">IFERROR(SUMIFS(Base!$D$6:$D$61,Base!$B$6:$B$61,"2026-04",Base!$C$6:$C$61,$B8)/SUMIFS(Base!$E$6:$E$61,Base!$B$6:$B$61,"2026-04",Base!$C$6:$C$61,$B8),"")</f>
        <v>0.595238095238095</v>
      </c>
      <c r="E8" s="8" t="n">
        <f aca="false">IFERROR(D8-C8,"")</f>
        <v>0.223145071982281</v>
      </c>
      <c r="F8" s="2" t="n">
        <f aca="false">SUMIFS(Base!$D$6:$D$61,Base!$C$6:$C$61,$B8)</f>
        <v>155</v>
      </c>
      <c r="G8" s="2" t="n">
        <f aca="false">SUMIFS(Base!$E$6:$E$61,Base!$C$6:$C$61,$B8)</f>
        <v>305</v>
      </c>
    </row>
    <row r="9" customFormat="false" ht="15" hidden="false" customHeight="false" outlineLevel="0" collapsed="false">
      <c r="B9" s="2" t="s">
        <v>37</v>
      </c>
      <c r="C9" s="7" t="n">
        <f aca="false">IFERROR(SUMIFS(Base!$D$6:$D$61,Base!$B$6:$B$61,"2025-12",Base!$C$6:$C$61,$B9)/SUMIFS(Base!$E$6:$E$61,Base!$B$6:$B$61,"2025-12",Base!$C$6:$C$61,$B9),"")</f>
        <v>0.617021276595745</v>
      </c>
      <c r="D9" s="7" t="n">
        <f aca="false">IFERROR(SUMIFS(Base!$D$6:$D$61,Base!$B$6:$B$61,"2026-04",Base!$C$6:$C$61,$B9)/SUMIFS(Base!$E$6:$E$61,Base!$B$6:$B$61,"2026-04",Base!$C$6:$C$61,$B9),"")</f>
        <v>0.655737704918033</v>
      </c>
      <c r="E9" s="8" t="n">
        <f aca="false">IFERROR(D9-C9,"")</f>
        <v>0.0387164283222881</v>
      </c>
      <c r="F9" s="2" t="n">
        <f aca="false">SUMIFS(Base!$D$6:$D$61,Base!$C$6:$C$61,$B9)</f>
        <v>153</v>
      </c>
      <c r="G9" s="2" t="n">
        <f aca="false">SUMIFS(Base!$E$6:$E$61,Base!$C$6:$C$61,$B9)</f>
        <v>258</v>
      </c>
    </row>
    <row r="10" customFormat="false" ht="15" hidden="false" customHeight="false" outlineLevel="0" collapsed="false">
      <c r="B10" s="2" t="s">
        <v>43</v>
      </c>
      <c r="C10" s="7" t="n">
        <f aca="false">IFERROR(SUMIFS(Base!$D$6:$D$61,Base!$B$6:$B$61,"2025-12",Base!$C$6:$C$61,$B10)/SUMIFS(Base!$E$6:$E$61,Base!$B$6:$B$61,"2025-12",Base!$C$6:$C$61,$B10),"")</f>
        <v>0.269230769230769</v>
      </c>
      <c r="D10" s="7" t="n">
        <f aca="false">IFERROR(SUMIFS(Base!$D$6:$D$61,Base!$B$6:$B$61,"2026-04",Base!$C$6:$C$61,$B10)/SUMIFS(Base!$E$6:$E$61,Base!$B$6:$B$61,"2026-04",Base!$C$6:$C$61,$B10),"")</f>
        <v>0.618181818181818</v>
      </c>
      <c r="E10" s="8" t="n">
        <f aca="false">IFERROR(D10-C10,"")</f>
        <v>0.348951048951049</v>
      </c>
      <c r="F10" s="2" t="n">
        <f aca="false">SUMIFS(Base!$D$6:$D$61,Base!$C$6:$C$61,$B10)</f>
        <v>99</v>
      </c>
      <c r="G10" s="2" t="n">
        <f aca="false">SUMIFS(Base!$E$6:$E$61,Base!$C$6:$C$61,$B10)</f>
        <v>216</v>
      </c>
    </row>
    <row r="11" customFormat="false" ht="15" hidden="false" customHeight="false" outlineLevel="0" collapsed="false">
      <c r="B11" s="2" t="s">
        <v>35</v>
      </c>
      <c r="C11" s="7" t="n">
        <f aca="false">IFERROR(SUMIFS(Base!$D$6:$D$61,Base!$B$6:$B$61,"2025-12",Base!$C$6:$C$61,$B11)/SUMIFS(Base!$E$6:$E$61,Base!$B$6:$B$61,"2025-12",Base!$C$6:$C$61,$B11),"")</f>
        <v>0.4</v>
      </c>
      <c r="D11" s="7" t="n">
        <f aca="false">IFERROR(SUMIFS(Base!$D$6:$D$61,Base!$B$6:$B$61,"2026-04",Base!$C$6:$C$61,$B11)/SUMIFS(Base!$E$6:$E$61,Base!$B$6:$B$61,"2026-04",Base!$C$6:$C$61,$B11),"")</f>
        <v>0.5625</v>
      </c>
      <c r="E11" s="8" t="n">
        <f aca="false">IFERROR(D11-C11,"")</f>
        <v>0.1625</v>
      </c>
      <c r="F11" s="2" t="n">
        <f aca="false">SUMIFS(Base!$D$6:$D$61,Base!$C$6:$C$61,$B11)</f>
        <v>89</v>
      </c>
      <c r="G11" s="2" t="n">
        <f aca="false">SUMIFS(Base!$E$6:$E$61,Base!$C$6:$C$61,$B11)</f>
        <v>190</v>
      </c>
    </row>
    <row r="12" customFormat="false" ht="15" hidden="false" customHeight="false" outlineLevel="0" collapsed="false">
      <c r="B12" s="2" t="s">
        <v>42</v>
      </c>
      <c r="C12" s="7" t="str">
        <f aca="false">IFERROR(SUMIFS(Base!$D$6:$D$61,Base!$B$6:$B$61,"2025-12",Base!$C$6:$C$61,$B12)/SUMIFS(Base!$E$6:$E$61,Base!$B$6:$B$61,"2025-12",Base!$C$6:$C$61,$B12),"")</f>
        <v/>
      </c>
      <c r="D12" s="7" t="n">
        <f aca="false">IFERROR(SUMIFS(Base!$D$6:$D$61,Base!$B$6:$B$61,"2026-04",Base!$C$6:$C$61,$B12)/SUMIFS(Base!$E$6:$E$61,Base!$B$6:$B$61,"2026-04",Base!$C$6:$C$61,$B12),"")</f>
        <v>0.6</v>
      </c>
      <c r="E12" s="8" t="str">
        <f aca="false">IFERROR(D12-C12,"")</f>
        <v/>
      </c>
      <c r="F12" s="2" t="n">
        <f aca="false">SUMIFS(Base!$D$6:$D$61,Base!$C$6:$C$61,$B12)</f>
        <v>4</v>
      </c>
      <c r="G12" s="2" t="n">
        <f aca="false">SUMIFS(Base!$E$6:$E$61,Base!$C$6:$C$61,$B12)</f>
        <v>6</v>
      </c>
    </row>
    <row r="13" customFormat="false" ht="15" hidden="false" customHeight="false" outlineLevel="0" collapsed="false">
      <c r="B13" s="2" t="s">
        <v>40</v>
      </c>
      <c r="C13" s="7" t="str">
        <f aca="false">IFERROR(SUMIFS(Base!$D$6:$D$61,Base!$B$6:$B$61,"2025-12",Base!$C$6:$C$61,$B13)/SUMIFS(Base!$E$6:$E$61,Base!$B$6:$B$61,"2025-12",Base!$C$6:$C$61,$B13),"")</f>
        <v/>
      </c>
      <c r="D13" s="7" t="n">
        <f aca="false">IFERROR(SUMIFS(Base!$D$6:$D$61,Base!$B$6:$B$61,"2026-04",Base!$C$6:$C$61,$B13)/SUMIFS(Base!$E$6:$E$61,Base!$B$6:$B$61,"2026-04",Base!$C$6:$C$61,$B13),"")</f>
        <v>0.636363636363636</v>
      </c>
      <c r="E13" s="8" t="str">
        <f aca="false">IFERROR(D13-C13,"")</f>
        <v/>
      </c>
      <c r="F13" s="2" t="n">
        <f aca="false">SUMIFS(Base!$D$6:$D$61,Base!$C$6:$C$61,$B13)</f>
        <v>24</v>
      </c>
      <c r="G13" s="2" t="n">
        <f aca="false">SUMIFS(Base!$E$6:$E$61,Base!$C$6:$C$61,$B13)</f>
        <v>44</v>
      </c>
    </row>
    <row r="15" customFormat="false" ht="15" hidden="false" customHeight="false" outlineLevel="0" collapsed="false">
      <c r="B15" s="4" t="s">
        <v>63</v>
      </c>
      <c r="E15" s="4" t="n">
        <f aca="false">COUNTIF(E6:E13,"&lt;0")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40"/>
    <col collapsed="false" customWidth="true" hidden="false" outlineLevel="0" max="3" min="3" style="0" width="46"/>
    <col collapsed="false" customWidth="true" hidden="false" outlineLevel="0" max="4" min="4" style="0" width="18"/>
    <col collapsed="false" customWidth="true" hidden="false" outlineLevel="0" max="5" min="5" style="0" width="14"/>
  </cols>
  <sheetData>
    <row r="2" customFormat="false" ht="17.35" hidden="false" customHeight="false" outlineLevel="0" collapsed="false">
      <c r="B2" s="1" t="s">
        <v>64</v>
      </c>
    </row>
    <row r="3" customFormat="false" ht="15" hidden="false" customHeight="false" outlineLevel="0" collapsed="false">
      <c r="B3" s="2" t="s">
        <v>65</v>
      </c>
    </row>
    <row r="5" customFormat="false" ht="15" hidden="false" customHeight="false" outlineLevel="0" collapsed="false">
      <c r="B5" s="4" t="s">
        <v>66</v>
      </c>
    </row>
    <row r="6" customFormat="false" ht="15" hidden="false" customHeight="false" outlineLevel="0" collapsed="false">
      <c r="B6" s="2" t="s">
        <v>67</v>
      </c>
    </row>
    <row r="8" customFormat="false" ht="15" hidden="false" customHeight="false" outlineLevel="0" collapsed="false">
      <c r="B8" s="5" t="s">
        <v>29</v>
      </c>
      <c r="C8" s="5" t="s">
        <v>68</v>
      </c>
      <c r="D8" s="5" t="s">
        <v>69</v>
      </c>
      <c r="E8" s="5" t="s">
        <v>70</v>
      </c>
    </row>
    <row r="9" customFormat="false" ht="15" hidden="false" customHeight="false" outlineLevel="0" collapsed="false">
      <c r="B9" s="2" t="s">
        <v>44</v>
      </c>
      <c r="C9" s="7" t="n">
        <f aca="false">IFERROR(SUMIFS(Base!$D$6:$D$61,Base!$B$6:$B$61,$B9)/SUMIFS(Base!$E$6:$E$61,Base!$B$6:$B$61,$B9),0)</f>
        <v>0.442105263157895</v>
      </c>
      <c r="D9" s="7" t="n">
        <f aca="false">IFERROR((SUMIFS(Base!$D$6:$D$61,Base!$B$6:$B$61,$B9)-SUMIFS(Base!$D$6:$D$61,Base!$B$6:$B$61,$B9,Base!$C$6:$C$61,"Novo*"))/(SUMIFS(Base!$E$6:$E$61,Base!$B$6:$B$61,$B9)-SUMIFS(Base!$E$6:$E$61,Base!$B$6:$B$61,$B9,Base!$C$6:$C$61,"Novo*")),0)</f>
        <v>0.442105263157895</v>
      </c>
      <c r="E9" s="8" t="n">
        <f aca="false">D9-C9</f>
        <v>0</v>
      </c>
    </row>
    <row r="10" customFormat="false" ht="15" hidden="false" customHeight="false" outlineLevel="0" collapsed="false">
      <c r="B10" s="2" t="s">
        <v>49</v>
      </c>
      <c r="C10" s="7" t="n">
        <f aca="false">IFERROR(SUMIFS(Base!$D$6:$D$61,Base!$B$6:$B$61,$B10)/SUMIFS(Base!$E$6:$E$61,Base!$B$6:$B$61,$B10),0)</f>
        <v>0.603864734299517</v>
      </c>
      <c r="D10" s="7" t="n">
        <f aca="false">IFERROR((SUMIFS(Base!$D$6:$D$61,Base!$B$6:$B$61,$B10)-SUMIFS(Base!$D$6:$D$61,Base!$B$6:$B$61,$B10,Base!$C$6:$C$61,"Novo*"))/(SUMIFS(Base!$E$6:$E$61,Base!$B$6:$B$61,$B10)-SUMIFS(Base!$E$6:$E$61,Base!$B$6:$B$61,$B10,Base!$C$6:$C$61,"Novo*")),0)</f>
        <v>0.601063829787234</v>
      </c>
      <c r="E10" s="8" t="n">
        <f aca="false">D10-C10</f>
        <v>-0.00280090451228288</v>
      </c>
    </row>
    <row r="12" customFormat="false" ht="15" hidden="false" customHeight="false" outlineLevel="0" collapsed="false">
      <c r="B12" s="4" t="s">
        <v>71</v>
      </c>
      <c r="C12" s="2" t="s">
        <v>72</v>
      </c>
    </row>
    <row r="14" customFormat="false" ht="15" hidden="false" customHeight="false" outlineLevel="0" collapsed="false">
      <c r="B14" s="4" t="s">
        <v>73</v>
      </c>
    </row>
    <row r="15" customFormat="false" ht="15" hidden="false" customHeight="false" outlineLevel="0" collapsed="false">
      <c r="B15" s="2" t="s">
        <v>74</v>
      </c>
    </row>
    <row r="16" customFormat="false" ht="15" hidden="false" customHeight="false" outlineLevel="0" collapsed="false">
      <c r="B16" s="2" t="s">
        <v>75</v>
      </c>
      <c r="C16" s="4" t="n">
        <f aca="false">'Por servidor'!E15</f>
        <v>0</v>
      </c>
    </row>
    <row r="17" customFormat="false" ht="15" hidden="false" customHeight="false" outlineLevel="0" collapsed="false">
      <c r="B17" s="4" t="s">
        <v>71</v>
      </c>
      <c r="C17" s="2" t="s">
        <v>76</v>
      </c>
    </row>
    <row r="19" customFormat="false" ht="46.25" hidden="false" customHeight="false" outlineLevel="0" collapsed="false">
      <c r="B19" s="4" t="s">
        <v>77</v>
      </c>
      <c r="C19" s="3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2026-07-22T18:40:08Z</dcterms:created>
  <dc:creator>openpyxl</dc:creator>
  <dc:description/>
  <dc:language>en-US</dc:language>
  <cp:lastModifiedBy/>
  <dcterms:modified xsi:type="dcterms:W3CDTF">2026-07-22T18:40:08Z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